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we\SynologyDrive\TCL\Website-BitMakeLab\docs\reference\inputs\diy-keypad\"/>
    </mc:Choice>
  </mc:AlternateContent>
  <xr:revisionPtr revIDLastSave="0" documentId="13_ncr:1_{57CD8D16-5A68-4C03-8A41-96FD195D40C2}" xr6:coauthVersionLast="47" xr6:coauthVersionMax="47" xr10:uidLastSave="{00000000-0000-0000-0000-000000000000}"/>
  <bookViews>
    <workbookView xWindow="-120" yWindow="-120" windowWidth="38640" windowHeight="21120" activeTab="2" xr2:uid="{2129743D-29A8-4AF6-8FF4-9297D66E8DB2}"/>
  </bookViews>
  <sheets>
    <sheet name="Sheet1" sheetId="1" r:id="rId1"/>
    <sheet name="Fermion 10-key keyboard" sheetId="2" r:id="rId2"/>
    <sheet name="Elecfreaks 5-key key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3" l="1"/>
  <c r="I10" i="3"/>
  <c r="J10" i="3"/>
  <c r="G10" i="3"/>
  <c r="I9" i="3"/>
  <c r="J9" i="3" s="1"/>
  <c r="K9" i="3" s="1"/>
  <c r="H9" i="3"/>
  <c r="F8" i="3"/>
  <c r="H10" i="2"/>
  <c r="I10" i="2"/>
  <c r="J10" i="2"/>
  <c r="K10" i="2"/>
  <c r="L10" i="2"/>
  <c r="M10" i="2"/>
  <c r="N10" i="2"/>
  <c r="O10" i="2"/>
  <c r="G10" i="2"/>
  <c r="G9" i="2"/>
  <c r="L9" i="2"/>
  <c r="N9" i="2"/>
  <c r="F8" i="2"/>
  <c r="I9" i="2" s="1"/>
  <c r="K26" i="1"/>
  <c r="L26" i="1"/>
  <c r="M26" i="1"/>
  <c r="N26" i="1"/>
  <c r="N27" i="1" s="1"/>
  <c r="N28" i="1" s="1"/>
  <c r="O26" i="1"/>
  <c r="P26" i="1"/>
  <c r="K27" i="1"/>
  <c r="K28" i="1" s="1"/>
  <c r="L27" i="1"/>
  <c r="L28" i="1" s="1"/>
  <c r="M27" i="1"/>
  <c r="M28" i="1" s="1"/>
  <c r="O27" i="1"/>
  <c r="O28" i="1" s="1"/>
  <c r="P27" i="1"/>
  <c r="P28" i="1" s="1"/>
  <c r="H28" i="1"/>
  <c r="I28" i="1"/>
  <c r="J28" i="1"/>
  <c r="G28" i="1"/>
  <c r="H27" i="1"/>
  <c r="I27" i="1"/>
  <c r="J27" i="1"/>
  <c r="G27" i="1"/>
  <c r="H26" i="1"/>
  <c r="I26" i="1"/>
  <c r="J26" i="1"/>
  <c r="G26" i="1"/>
  <c r="G15" i="1"/>
  <c r="I15" i="1"/>
  <c r="J15" i="1"/>
  <c r="K15" i="1"/>
  <c r="L15" i="1"/>
  <c r="H15" i="1"/>
  <c r="L14" i="1"/>
  <c r="H14" i="1"/>
  <c r="I14" i="1"/>
  <c r="J14" i="1"/>
  <c r="K14" i="1"/>
  <c r="G14" i="1"/>
  <c r="AA8" i="1"/>
  <c r="AB8" i="1"/>
  <c r="AC8" i="1"/>
  <c r="AD8" i="1"/>
  <c r="AE8" i="1"/>
  <c r="AF8" i="1"/>
  <c r="AG8" i="1"/>
  <c r="AH8" i="1"/>
  <c r="AI8" i="1"/>
  <c r="AJ8" i="1"/>
  <c r="AK8" i="1"/>
  <c r="AL8" i="1"/>
  <c r="AV9" i="1" s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S8" i="1"/>
  <c r="T8" i="1"/>
  <c r="U8" i="1"/>
  <c r="V8" i="1"/>
  <c r="W8" i="1"/>
  <c r="X8" i="1"/>
  <c r="Y8" i="1"/>
  <c r="Z8" i="1"/>
  <c r="F20" i="1"/>
  <c r="I8" i="1"/>
  <c r="J8" i="1"/>
  <c r="K8" i="1"/>
  <c r="L8" i="1"/>
  <c r="M8" i="1"/>
  <c r="N8" i="1"/>
  <c r="O8" i="1"/>
  <c r="P8" i="1"/>
  <c r="Q8" i="1"/>
  <c r="R8" i="1"/>
  <c r="H8" i="1"/>
  <c r="AL9" i="1" s="1"/>
  <c r="F8" i="1"/>
  <c r="H9" i="1" s="1"/>
  <c r="H12" i="1" s="1"/>
  <c r="K10" i="3" l="1"/>
  <c r="J11" i="3"/>
  <c r="M9" i="2"/>
  <c r="K9" i="2"/>
  <c r="H9" i="2"/>
  <c r="O9" i="2"/>
  <c r="J9" i="2"/>
  <c r="P9" i="2"/>
  <c r="AI9" i="1"/>
  <c r="AT9" i="1"/>
  <c r="AG9" i="1"/>
  <c r="AG12" i="1" s="1"/>
  <c r="AL12" i="1"/>
  <c r="AL11" i="1"/>
  <c r="AT11" i="1"/>
  <c r="AT12" i="1"/>
  <c r="AV11" i="1"/>
  <c r="AV12" i="1"/>
  <c r="AI11" i="1"/>
  <c r="AI12" i="1"/>
  <c r="AG11" i="1"/>
  <c r="AJ9" i="1"/>
  <c r="AU9" i="1"/>
  <c r="AS9" i="1"/>
  <c r="V9" i="1"/>
  <c r="V12" i="1" s="1"/>
  <c r="AR9" i="1"/>
  <c r="AF9" i="1"/>
  <c r="AH9" i="1"/>
  <c r="AQ9" i="1"/>
  <c r="AE9" i="1"/>
  <c r="AD9" i="1"/>
  <c r="AO9" i="1"/>
  <c r="AC9" i="1"/>
  <c r="AZ9" i="1"/>
  <c r="AN9" i="1"/>
  <c r="AB9" i="1"/>
  <c r="AP9" i="1"/>
  <c r="AY9" i="1"/>
  <c r="AM9" i="1"/>
  <c r="AA9" i="1"/>
  <c r="AX9" i="1"/>
  <c r="T9" i="1"/>
  <c r="T12" i="1" s="1"/>
  <c r="AW9" i="1"/>
  <c r="AK9" i="1"/>
  <c r="U9" i="1"/>
  <c r="S9" i="1"/>
  <c r="H11" i="1"/>
  <c r="Z9" i="1"/>
  <c r="Z12" i="1" s="1"/>
  <c r="W9" i="1"/>
  <c r="Y9" i="1"/>
  <c r="X9" i="1"/>
  <c r="G9" i="1"/>
  <c r="R9" i="1"/>
  <c r="Q9" i="1"/>
  <c r="P9" i="1"/>
  <c r="O9" i="1"/>
  <c r="N9" i="1"/>
  <c r="M9" i="1"/>
  <c r="L9" i="1"/>
  <c r="K9" i="1"/>
  <c r="J9" i="1"/>
  <c r="I9" i="1"/>
  <c r="G11" i="3" l="1"/>
  <c r="H11" i="3"/>
  <c r="I11" i="3"/>
  <c r="AE11" i="1"/>
  <c r="AE12" i="1"/>
  <c r="AR11" i="1"/>
  <c r="AR12" i="1"/>
  <c r="AB11" i="1"/>
  <c r="AB12" i="1"/>
  <c r="AQ12" i="1"/>
  <c r="AQ11" i="1"/>
  <c r="AM12" i="1"/>
  <c r="AM11" i="1"/>
  <c r="V11" i="1"/>
  <c r="AX12" i="1"/>
  <c r="AX11" i="1"/>
  <c r="AY11" i="1"/>
  <c r="AY12" i="1"/>
  <c r="AS12" i="1"/>
  <c r="AS11" i="1"/>
  <c r="AJ11" i="1"/>
  <c r="AJ12" i="1"/>
  <c r="AF12" i="1"/>
  <c r="AF11" i="1"/>
  <c r="AP11" i="1"/>
  <c r="AP12" i="1"/>
  <c r="AU11" i="1"/>
  <c r="AU12" i="1"/>
  <c r="AA11" i="1"/>
  <c r="AA12" i="1"/>
  <c r="T11" i="1"/>
  <c r="AH12" i="1"/>
  <c r="AH11" i="1"/>
  <c r="AN11" i="1"/>
  <c r="AN12" i="1"/>
  <c r="AZ11" i="1"/>
  <c r="AZ12" i="1"/>
  <c r="AC12" i="1"/>
  <c r="AC11" i="1"/>
  <c r="AK11" i="1"/>
  <c r="AK12" i="1"/>
  <c r="AO11" i="1"/>
  <c r="AO12" i="1"/>
  <c r="AW11" i="1"/>
  <c r="AW12" i="1"/>
  <c r="AD12" i="1"/>
  <c r="AD11" i="1"/>
  <c r="R12" i="1"/>
  <c r="R11" i="1"/>
  <c r="O11" i="1"/>
  <c r="O12" i="1"/>
  <c r="U12" i="1"/>
  <c r="U11" i="1"/>
  <c r="W11" i="1"/>
  <c r="P12" i="1"/>
  <c r="P11" i="1"/>
  <c r="S11" i="1"/>
  <c r="S12" i="1"/>
  <c r="J12" i="1"/>
  <c r="J11" i="1"/>
  <c r="W12" i="1"/>
  <c r="L12" i="1"/>
  <c r="L11" i="1"/>
  <c r="M11" i="1"/>
  <c r="M12" i="1"/>
  <c r="Z11" i="1"/>
  <c r="Q12" i="1"/>
  <c r="Q11" i="1"/>
  <c r="G12" i="1"/>
  <c r="G11" i="1"/>
  <c r="I11" i="1"/>
  <c r="I12" i="1"/>
  <c r="K11" i="1"/>
  <c r="K12" i="1"/>
  <c r="N11" i="1"/>
  <c r="N12" i="1"/>
  <c r="X12" i="1"/>
  <c r="X11" i="1"/>
  <c r="Y12" i="1"/>
  <c r="Y11" i="1"/>
</calcChain>
</file>

<file path=xl/sharedStrings.xml><?xml version="1.0" encoding="utf-8"?>
<sst xmlns="http://schemas.openxmlformats.org/spreadsheetml/2006/main" count="103" uniqueCount="69">
  <si>
    <t>Pull down</t>
  </si>
  <si>
    <t>Button 1</t>
  </si>
  <si>
    <t>Button 2</t>
  </si>
  <si>
    <t>Button 3</t>
  </si>
  <si>
    <t>Button 4</t>
  </si>
  <si>
    <t>Button 5</t>
  </si>
  <si>
    <t>Button 6</t>
  </si>
  <si>
    <t>Voltage divider calculations for analogue button keyboard</t>
  </si>
  <si>
    <t>Attach keyboard to P0 on Microbit and you will get the following readings</t>
  </si>
  <si>
    <t>Resistor:</t>
  </si>
  <si>
    <t>P0 reading:</t>
  </si>
  <si>
    <t>Button 7</t>
  </si>
  <si>
    <t>Button 8</t>
  </si>
  <si>
    <t>Button 9</t>
  </si>
  <si>
    <t>Button 10</t>
  </si>
  <si>
    <t>Button 11</t>
  </si>
  <si>
    <t>Button 12</t>
  </si>
  <si>
    <t>Pulldown:</t>
  </si>
  <si>
    <t>Divider:</t>
  </si>
  <si>
    <t>Max val:</t>
  </si>
  <si>
    <t>P0 reading</t>
  </si>
  <si>
    <t>Button no</t>
  </si>
  <si>
    <t>Button 13</t>
  </si>
  <si>
    <t>Button 14</t>
  </si>
  <si>
    <t>Button 15</t>
  </si>
  <si>
    <t>Button 16</t>
  </si>
  <si>
    <t>Button 17</t>
  </si>
  <si>
    <t>Button 18</t>
  </si>
  <si>
    <t>Button 19</t>
  </si>
  <si>
    <t>Button 20</t>
  </si>
  <si>
    <t>Button 21</t>
  </si>
  <si>
    <t>Button 22</t>
  </si>
  <si>
    <t>Button 23</t>
  </si>
  <si>
    <t>Button 24</t>
  </si>
  <si>
    <t>Button 25</t>
  </si>
  <si>
    <t>Button 26</t>
  </si>
  <si>
    <t>Button 27</t>
  </si>
  <si>
    <t>Button 28</t>
  </si>
  <si>
    <t>Button 29</t>
  </si>
  <si>
    <t>Button 30</t>
  </si>
  <si>
    <t>Button 31</t>
  </si>
  <si>
    <t>Button 32</t>
  </si>
  <si>
    <t>Button 33</t>
  </si>
  <si>
    <t>Button 34</t>
  </si>
  <si>
    <t>Button 35</t>
  </si>
  <si>
    <t>Button 36</t>
  </si>
  <si>
    <t>Button 37</t>
  </si>
  <si>
    <t>Button 38</t>
  </si>
  <si>
    <t>Button 39</t>
  </si>
  <si>
    <t>Button 40</t>
  </si>
  <si>
    <t>Button 41</t>
  </si>
  <si>
    <t>Button 42</t>
  </si>
  <si>
    <t>Button 43</t>
  </si>
  <si>
    <t>Button 44</t>
  </si>
  <si>
    <t>Button 45</t>
  </si>
  <si>
    <t>Button 46</t>
  </si>
  <si>
    <t>Convert a P0 reading to a button number:</t>
  </si>
  <si>
    <t>P0 Readings for different buttons</t>
  </si>
  <si>
    <t>voltage</t>
  </si>
  <si>
    <t>Voltage:</t>
  </si>
  <si>
    <t>n</t>
  </si>
  <si>
    <t>Vout</t>
  </si>
  <si>
    <t>P0</t>
  </si>
  <si>
    <t>Button 0</t>
  </si>
  <si>
    <t>Voltage divider calculations for DF Robot Fermion analogue button keyboard</t>
  </si>
  <si>
    <t>Adding tolerance:</t>
  </si>
  <si>
    <t>Values for easy programming:</t>
  </si>
  <si>
    <t>Voltage divider calculations for Elecfreaks analogue button keyboard</t>
  </si>
  <si>
    <t>Serial resistance: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</si>
</sst>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left" indent="4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C9F9-5F40-4424-A53A-1581358BC3E7}">
  <dimension ref="A1:AZ28"/>
  <sheetViews>
    <sheetView workbookViewId="0">
      <selection activeCell="C21" sqref="A1:XFD1048576"/>
    </sheetView>
  </sheetViews>
  <sheetFormatPr defaultRowHeight="15" x14ac:dyDescent="0.25"/>
  <cols>
    <col min="5" max="5" width="10.85546875" bestFit="1" customWidth="1"/>
    <col min="7" max="7" width="8.42578125" bestFit="1" customWidth="1"/>
    <col min="8" max="12" width="9.140625" bestFit="1" customWidth="1"/>
  </cols>
  <sheetData>
    <row r="1" spans="1:52" x14ac:dyDescent="0.25">
      <c r="A1" s="1" t="s">
        <v>7</v>
      </c>
    </row>
    <row r="2" spans="1:52" x14ac:dyDescent="0.25">
      <c r="A2" t="s">
        <v>8</v>
      </c>
    </row>
    <row r="4" spans="1:52" x14ac:dyDescent="0.25">
      <c r="B4" t="s">
        <v>17</v>
      </c>
      <c r="C4">
        <v>22000</v>
      </c>
    </row>
    <row r="5" spans="1:52" x14ac:dyDescent="0.25">
      <c r="B5" t="s">
        <v>18</v>
      </c>
      <c r="C5">
        <v>1000</v>
      </c>
    </row>
    <row r="6" spans="1:52" x14ac:dyDescent="0.25">
      <c r="B6" t="s">
        <v>19</v>
      </c>
      <c r="C6">
        <v>1023</v>
      </c>
      <c r="E6" s="1" t="s">
        <v>57</v>
      </c>
    </row>
    <row r="7" spans="1:52" x14ac:dyDescent="0.25">
      <c r="B7" t="s">
        <v>59</v>
      </c>
      <c r="C7">
        <v>3.3</v>
      </c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  <c r="K7" s="1" t="s">
        <v>5</v>
      </c>
      <c r="L7" s="1" t="s">
        <v>6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22</v>
      </c>
      <c r="T7" s="1" t="s">
        <v>23</v>
      </c>
      <c r="U7" s="1" t="s">
        <v>24</v>
      </c>
      <c r="V7" s="1" t="s">
        <v>25</v>
      </c>
      <c r="W7" s="1" t="s">
        <v>26</v>
      </c>
      <c r="X7" s="1" t="s">
        <v>27</v>
      </c>
      <c r="Y7" s="1" t="s">
        <v>28</v>
      </c>
      <c r="Z7" s="1" t="s">
        <v>29</v>
      </c>
      <c r="AA7" s="1" t="s">
        <v>30</v>
      </c>
      <c r="AB7" s="1" t="s">
        <v>31</v>
      </c>
      <c r="AC7" s="1" t="s">
        <v>32</v>
      </c>
      <c r="AD7" s="1" t="s">
        <v>33</v>
      </c>
      <c r="AE7" s="1" t="s">
        <v>34</v>
      </c>
      <c r="AF7" s="1" t="s">
        <v>35</v>
      </c>
      <c r="AG7" s="1" t="s">
        <v>36</v>
      </c>
      <c r="AH7" s="1" t="s">
        <v>37</v>
      </c>
      <c r="AI7" s="1" t="s">
        <v>38</v>
      </c>
      <c r="AJ7" s="1" t="s">
        <v>39</v>
      </c>
      <c r="AK7" s="1" t="s">
        <v>40</v>
      </c>
      <c r="AL7" s="1" t="s">
        <v>41</v>
      </c>
      <c r="AM7" s="1" t="s">
        <v>42</v>
      </c>
      <c r="AN7" s="1" t="s">
        <v>43</v>
      </c>
      <c r="AO7" s="1" t="s">
        <v>44</v>
      </c>
      <c r="AP7" s="1" t="s">
        <v>45</v>
      </c>
      <c r="AQ7" s="1" t="s">
        <v>46</v>
      </c>
      <c r="AR7" s="1" t="s">
        <v>47</v>
      </c>
      <c r="AS7" s="1" t="s">
        <v>48</v>
      </c>
      <c r="AT7" s="1" t="s">
        <v>49</v>
      </c>
      <c r="AU7" s="1" t="s">
        <v>50</v>
      </c>
      <c r="AV7" s="1" t="s">
        <v>51</v>
      </c>
      <c r="AW7" s="1" t="s">
        <v>52</v>
      </c>
      <c r="AX7" s="1" t="s">
        <v>53</v>
      </c>
      <c r="AY7" s="1" t="s">
        <v>54</v>
      </c>
      <c r="AZ7" s="1" t="s">
        <v>55</v>
      </c>
    </row>
    <row r="8" spans="1:52" x14ac:dyDescent="0.25">
      <c r="E8" t="s">
        <v>9</v>
      </c>
      <c r="F8">
        <f>C4</f>
        <v>22000</v>
      </c>
      <c r="G8">
        <v>0</v>
      </c>
      <c r="H8">
        <f>$C$5</f>
        <v>1000</v>
      </c>
      <c r="I8">
        <f t="shared" ref="I8:AZ8" si="0">$C$5</f>
        <v>1000</v>
      </c>
      <c r="J8">
        <f t="shared" si="0"/>
        <v>1000</v>
      </c>
      <c r="K8">
        <f t="shared" si="0"/>
        <v>1000</v>
      </c>
      <c r="L8">
        <f t="shared" si="0"/>
        <v>1000</v>
      </c>
      <c r="M8">
        <f t="shared" si="0"/>
        <v>1000</v>
      </c>
      <c r="N8">
        <f t="shared" si="0"/>
        <v>1000</v>
      </c>
      <c r="O8">
        <f t="shared" si="0"/>
        <v>1000</v>
      </c>
      <c r="P8">
        <f t="shared" si="0"/>
        <v>1000</v>
      </c>
      <c r="Q8">
        <f t="shared" si="0"/>
        <v>1000</v>
      </c>
      <c r="R8">
        <f t="shared" si="0"/>
        <v>1000</v>
      </c>
      <c r="S8">
        <f t="shared" si="0"/>
        <v>1000</v>
      </c>
      <c r="T8">
        <f t="shared" si="0"/>
        <v>1000</v>
      </c>
      <c r="U8">
        <f t="shared" si="0"/>
        <v>1000</v>
      </c>
      <c r="V8">
        <f t="shared" si="0"/>
        <v>1000</v>
      </c>
      <c r="W8">
        <f t="shared" si="0"/>
        <v>1000</v>
      </c>
      <c r="X8">
        <f t="shared" si="0"/>
        <v>1000</v>
      </c>
      <c r="Y8">
        <f t="shared" si="0"/>
        <v>1000</v>
      </c>
      <c r="Z8">
        <f t="shared" si="0"/>
        <v>1000</v>
      </c>
      <c r="AA8">
        <f t="shared" si="0"/>
        <v>1000</v>
      </c>
      <c r="AB8">
        <f t="shared" si="0"/>
        <v>1000</v>
      </c>
      <c r="AC8">
        <f t="shared" si="0"/>
        <v>1000</v>
      </c>
      <c r="AD8">
        <f t="shared" si="0"/>
        <v>1000</v>
      </c>
      <c r="AE8">
        <f t="shared" si="0"/>
        <v>1000</v>
      </c>
      <c r="AF8">
        <f t="shared" si="0"/>
        <v>1000</v>
      </c>
      <c r="AG8">
        <f t="shared" si="0"/>
        <v>1000</v>
      </c>
      <c r="AH8">
        <f t="shared" si="0"/>
        <v>1000</v>
      </c>
      <c r="AI8">
        <f t="shared" si="0"/>
        <v>1000</v>
      </c>
      <c r="AJ8">
        <f t="shared" si="0"/>
        <v>1000</v>
      </c>
      <c r="AK8">
        <f t="shared" si="0"/>
        <v>1000</v>
      </c>
      <c r="AL8">
        <f t="shared" si="0"/>
        <v>1000</v>
      </c>
      <c r="AM8">
        <f t="shared" si="0"/>
        <v>1000</v>
      </c>
      <c r="AN8">
        <f t="shared" si="0"/>
        <v>1000</v>
      </c>
      <c r="AO8">
        <f t="shared" si="0"/>
        <v>1000</v>
      </c>
      <c r="AP8">
        <f t="shared" si="0"/>
        <v>1000</v>
      </c>
      <c r="AQ8">
        <f t="shared" si="0"/>
        <v>1000</v>
      </c>
      <c r="AR8">
        <f t="shared" si="0"/>
        <v>1000</v>
      </c>
      <c r="AS8">
        <f t="shared" si="0"/>
        <v>1000</v>
      </c>
      <c r="AT8">
        <f t="shared" si="0"/>
        <v>1000</v>
      </c>
      <c r="AU8">
        <f t="shared" si="0"/>
        <v>1000</v>
      </c>
      <c r="AV8">
        <f t="shared" si="0"/>
        <v>1000</v>
      </c>
      <c r="AW8">
        <f t="shared" si="0"/>
        <v>1000</v>
      </c>
      <c r="AX8">
        <f t="shared" si="0"/>
        <v>1000</v>
      </c>
      <c r="AY8">
        <f t="shared" si="0"/>
        <v>1000</v>
      </c>
      <c r="AZ8">
        <f t="shared" si="0"/>
        <v>1000</v>
      </c>
    </row>
    <row r="9" spans="1:52" x14ac:dyDescent="0.25">
      <c r="E9" t="s">
        <v>10</v>
      </c>
      <c r="G9" s="2">
        <f>SUM($G$8:G8)/($F$8+SUM($G$8:G8))*$C$6</f>
        <v>0</v>
      </c>
      <c r="H9" s="2">
        <f>SUM($G$8:H8)/($F$8+SUM($G$8:H8))*$C$6</f>
        <v>44.478260869565219</v>
      </c>
      <c r="I9" s="2">
        <f>SUM($G$8:I8)/($F$8+SUM($G$8:I8))*$C$6</f>
        <v>85.25</v>
      </c>
      <c r="J9" s="2">
        <f>SUM($G$8:J8)/($F$8+SUM($G$8:J8))*$C$6</f>
        <v>122.75999999999999</v>
      </c>
      <c r="K9" s="2">
        <f>SUM($G$8:K8)/($F$8+SUM($G$8:K8))*$C$6</f>
        <v>157.38461538461539</v>
      </c>
      <c r="L9" s="2">
        <f>SUM($G$8:L8)/($F$8+SUM($G$8:L8))*$C$6</f>
        <v>189.44444444444443</v>
      </c>
      <c r="M9" s="2">
        <f>SUM($G$8:M8)/($F$8+SUM($G$8:M8))*$C$6</f>
        <v>219.21428571428569</v>
      </c>
      <c r="N9" s="2">
        <f>SUM($G$8:N8)/($F$8+SUM($G$8:N8))*$C$6</f>
        <v>246.93103448275863</v>
      </c>
      <c r="O9" s="2">
        <f>SUM($G$8:O8)/($F$8+SUM($G$8:O8))*$C$6</f>
        <v>272.8</v>
      </c>
      <c r="P9" s="2">
        <f>SUM($G$8:P8)/($F$8+SUM($G$8:P8))*$C$6</f>
        <v>297</v>
      </c>
      <c r="Q9" s="2">
        <f>SUM($G$8:Q8)/($F$8+SUM($G$8:Q8))*$C$6</f>
        <v>319.6875</v>
      </c>
      <c r="R9" s="2">
        <f>SUM($G$8:R8)/($F$8+SUM($G$8:R8))*$C$6</f>
        <v>341</v>
      </c>
      <c r="S9" s="2">
        <f>SUM($G$8:S8)/($F$8+SUM($G$8:S8))*$C$6</f>
        <v>361.05882352941177</v>
      </c>
      <c r="T9" s="2">
        <f>SUM($G$8:T8)/($F$8+SUM($G$8:T8))*$C$6</f>
        <v>379.97142857142859</v>
      </c>
      <c r="U9" s="2">
        <f>SUM($G$8:U8)/($F$8+SUM($G$8:U8))*$C$6</f>
        <v>397.83333333333331</v>
      </c>
      <c r="V9" s="2">
        <f>SUM($G$8:V8)/($F$8+SUM($G$8:V8))*$C$6</f>
        <v>414.72972972972974</v>
      </c>
      <c r="W9" s="2">
        <f>SUM($G$8:W8)/($F$8+SUM($G$8:W8))*$C$6</f>
        <v>430.73684210526312</v>
      </c>
      <c r="X9" s="2">
        <f>SUM($G$8:X8)/($F$8+SUM($G$8:X8))*$C$6</f>
        <v>445.92307692307691</v>
      </c>
      <c r="Y9" s="2">
        <f>SUM($G$8:Y8)/($F$8+SUM($G$8:Y8))*$C$6</f>
        <v>460.35</v>
      </c>
      <c r="Z9" s="2">
        <f>SUM($G$8:Z8)/($F$8+SUM($G$8:Z8))*$C$6</f>
        <v>474.07317073170736</v>
      </c>
      <c r="AA9" s="2">
        <f>SUM($G$8:AA8)/($F$8+SUM($G$8:AA8))*$C$6</f>
        <v>487.14285714285711</v>
      </c>
      <c r="AB9" s="2">
        <f>SUM($G$8:AB8)/($F$8+SUM($G$8:AB8))*$C$6</f>
        <v>499.60465116279067</v>
      </c>
      <c r="AC9" s="2">
        <f>SUM($G$8:AC8)/($F$8+SUM($G$8:AC8))*$C$6</f>
        <v>511.5</v>
      </c>
      <c r="AD9" s="2">
        <f>SUM($G$8:AD8)/($F$8+SUM($G$8:AD8))*$C$6</f>
        <v>522.86666666666667</v>
      </c>
      <c r="AE9" s="2">
        <f>SUM($G$8:AE8)/($F$8+SUM($G$8:AE8))*$C$6</f>
        <v>533.73913043478262</v>
      </c>
      <c r="AF9" s="2">
        <f>SUM($G$8:AF8)/($F$8+SUM($G$8:AF8))*$C$6</f>
        <v>544.14893617021278</v>
      </c>
      <c r="AG9" s="2">
        <f>SUM($G$8:AG8)/($F$8+SUM($G$8:AG8))*$C$6</f>
        <v>554.125</v>
      </c>
      <c r="AH9" s="2">
        <f>SUM($G$8:AH8)/($F$8+SUM($G$8:AH8))*$C$6</f>
        <v>563.69387755102036</v>
      </c>
      <c r="AI9" s="2">
        <f>SUM($G$8:AI8)/($F$8+SUM($G$8:AI8))*$C$6</f>
        <v>572.88000000000011</v>
      </c>
      <c r="AJ9" s="2">
        <f>SUM($G$8:AJ8)/($F$8+SUM($G$8:AJ8))*$C$6</f>
        <v>581.7058823529411</v>
      </c>
      <c r="AK9" s="2">
        <f>SUM($G$8:AK8)/($F$8+SUM($G$8:AK8))*$C$6</f>
        <v>590.19230769230762</v>
      </c>
      <c r="AL9" s="2">
        <f>SUM($G$8:AL8)/($F$8+SUM($G$8:AL8))*$C$6</f>
        <v>598.35849056603774</v>
      </c>
      <c r="AM9" s="2">
        <f>SUM($G$8:AM8)/($F$8+SUM($G$8:AM8))*$C$6</f>
        <v>606.22222222222217</v>
      </c>
      <c r="AN9" s="2">
        <f>SUM($G$8:AN8)/($F$8+SUM($G$8:AN8))*$C$6</f>
        <v>613.79999999999995</v>
      </c>
      <c r="AO9" s="2">
        <f>SUM($G$8:AO8)/($F$8+SUM($G$8:AO8))*$C$6</f>
        <v>621.10714285714278</v>
      </c>
      <c r="AP9" s="2">
        <f>SUM($G$8:AP8)/($F$8+SUM($G$8:AP8))*$C$6</f>
        <v>628.15789473684208</v>
      </c>
      <c r="AQ9" s="2">
        <f>SUM($G$8:AQ8)/($F$8+SUM($G$8:AQ8))*$C$6</f>
        <v>634.9655172413793</v>
      </c>
      <c r="AR9" s="2">
        <f>SUM($G$8:AR8)/($F$8+SUM($G$8:AR8))*$C$6</f>
        <v>641.54237288135596</v>
      </c>
      <c r="AS9" s="2">
        <f>SUM($G$8:AS8)/($F$8+SUM($G$8:AS8))*$C$6</f>
        <v>647.9</v>
      </c>
      <c r="AT9" s="2">
        <f>SUM($G$8:AT8)/($F$8+SUM($G$8:AT8))*$C$6</f>
        <v>654.04918032786895</v>
      </c>
      <c r="AU9" s="2">
        <f>SUM($G$8:AU8)/($F$8+SUM($G$8:AU8))*$C$6</f>
        <v>660</v>
      </c>
      <c r="AV9" s="2">
        <f>SUM($G$8:AV8)/($F$8+SUM($G$8:AV8))*$C$6</f>
        <v>665.76190476190482</v>
      </c>
      <c r="AW9" s="2">
        <f>SUM($G$8:AW8)/($F$8+SUM($G$8:AW8))*$C$6</f>
        <v>671.34375</v>
      </c>
      <c r="AX9" s="2">
        <f>SUM($G$8:AX8)/($F$8+SUM($G$8:AX8))*$C$6</f>
        <v>676.7538461538461</v>
      </c>
      <c r="AY9" s="2">
        <f>SUM($G$8:AY8)/($F$8+SUM($G$8:AY8))*$C$6</f>
        <v>682</v>
      </c>
      <c r="AZ9" s="2">
        <f>SUM($G$8:AZ8)/($F$8+SUM($G$8:AZ8))*$C$6</f>
        <v>687.08955223880605</v>
      </c>
    </row>
    <row r="11" spans="1:52" x14ac:dyDescent="0.25">
      <c r="G11" s="3">
        <f>G9-15</f>
        <v>-15</v>
      </c>
      <c r="H11" s="3">
        <f>H9-15</f>
        <v>29.478260869565219</v>
      </c>
      <c r="I11" s="3">
        <f t="shared" ref="I11:R11" si="1">I9-15</f>
        <v>70.25</v>
      </c>
      <c r="J11" s="3">
        <f t="shared" si="1"/>
        <v>107.75999999999999</v>
      </c>
      <c r="K11" s="3">
        <f t="shared" si="1"/>
        <v>142.38461538461539</v>
      </c>
      <c r="L11" s="3">
        <f t="shared" si="1"/>
        <v>174.44444444444443</v>
      </c>
      <c r="M11" s="3">
        <f t="shared" si="1"/>
        <v>204.21428571428569</v>
      </c>
      <c r="N11" s="3">
        <f t="shared" si="1"/>
        <v>231.93103448275863</v>
      </c>
      <c r="O11" s="3">
        <f t="shared" si="1"/>
        <v>257.8</v>
      </c>
      <c r="P11" s="3">
        <f t="shared" si="1"/>
        <v>282</v>
      </c>
      <c r="Q11" s="3">
        <f t="shared" si="1"/>
        <v>304.6875</v>
      </c>
      <c r="R11" s="3">
        <f t="shared" si="1"/>
        <v>326</v>
      </c>
      <c r="S11" s="3">
        <f t="shared" ref="S11:AZ11" si="2">S9-15</f>
        <v>346.05882352941177</v>
      </c>
      <c r="T11" s="3">
        <f t="shared" si="2"/>
        <v>364.97142857142859</v>
      </c>
      <c r="U11" s="3">
        <f t="shared" si="2"/>
        <v>382.83333333333331</v>
      </c>
      <c r="V11" s="3">
        <f t="shared" si="2"/>
        <v>399.72972972972974</v>
      </c>
      <c r="W11" s="3">
        <f t="shared" si="2"/>
        <v>415.73684210526312</v>
      </c>
      <c r="X11" s="3">
        <f t="shared" si="2"/>
        <v>430.92307692307691</v>
      </c>
      <c r="Y11" s="3">
        <f t="shared" si="2"/>
        <v>445.35</v>
      </c>
      <c r="Z11" s="3">
        <f t="shared" si="2"/>
        <v>459.07317073170736</v>
      </c>
      <c r="AA11" s="3">
        <f t="shared" si="2"/>
        <v>472.14285714285711</v>
      </c>
      <c r="AB11" s="3">
        <f t="shared" si="2"/>
        <v>484.60465116279067</v>
      </c>
      <c r="AC11" s="3">
        <f t="shared" si="2"/>
        <v>496.5</v>
      </c>
      <c r="AD11" s="3">
        <f t="shared" si="2"/>
        <v>507.86666666666667</v>
      </c>
      <c r="AE11" s="3">
        <f t="shared" si="2"/>
        <v>518.73913043478262</v>
      </c>
      <c r="AF11" s="3">
        <f t="shared" si="2"/>
        <v>529.14893617021278</v>
      </c>
      <c r="AG11" s="3">
        <f t="shared" si="2"/>
        <v>539.125</v>
      </c>
      <c r="AH11" s="3">
        <f t="shared" si="2"/>
        <v>548.69387755102036</v>
      </c>
      <c r="AI11" s="3">
        <f t="shared" si="2"/>
        <v>557.88000000000011</v>
      </c>
      <c r="AJ11" s="3">
        <f t="shared" si="2"/>
        <v>566.7058823529411</v>
      </c>
      <c r="AK11" s="3">
        <f t="shared" si="2"/>
        <v>575.19230769230762</v>
      </c>
      <c r="AL11" s="3">
        <f t="shared" si="2"/>
        <v>583.35849056603774</v>
      </c>
      <c r="AM11" s="3">
        <f t="shared" si="2"/>
        <v>591.22222222222217</v>
      </c>
      <c r="AN11" s="3">
        <f t="shared" si="2"/>
        <v>598.79999999999995</v>
      </c>
      <c r="AO11" s="3">
        <f t="shared" si="2"/>
        <v>606.10714285714278</v>
      </c>
      <c r="AP11" s="3">
        <f t="shared" si="2"/>
        <v>613.15789473684208</v>
      </c>
      <c r="AQ11" s="3">
        <f t="shared" si="2"/>
        <v>619.9655172413793</v>
      </c>
      <c r="AR11" s="3">
        <f t="shared" si="2"/>
        <v>626.54237288135596</v>
      </c>
      <c r="AS11" s="3">
        <f t="shared" si="2"/>
        <v>632.9</v>
      </c>
      <c r="AT11" s="3">
        <f t="shared" si="2"/>
        <v>639.04918032786895</v>
      </c>
      <c r="AU11" s="3">
        <f t="shared" si="2"/>
        <v>645</v>
      </c>
      <c r="AV11" s="3">
        <f t="shared" si="2"/>
        <v>650.76190476190482</v>
      </c>
      <c r="AW11" s="3">
        <f t="shared" si="2"/>
        <v>656.34375</v>
      </c>
      <c r="AX11" s="3">
        <f t="shared" si="2"/>
        <v>661.7538461538461</v>
      </c>
      <c r="AY11" s="3">
        <f t="shared" si="2"/>
        <v>667</v>
      </c>
      <c r="AZ11" s="3">
        <f t="shared" si="2"/>
        <v>672.08955223880605</v>
      </c>
    </row>
    <row r="12" spans="1:52" x14ac:dyDescent="0.25">
      <c r="G12" s="3">
        <f>G9+15</f>
        <v>15</v>
      </c>
      <c r="H12" s="3">
        <f>H9+15</f>
        <v>59.478260869565219</v>
      </c>
      <c r="I12" s="3">
        <f t="shared" ref="I12:R12" si="3">I9+15</f>
        <v>100.25</v>
      </c>
      <c r="J12" s="3">
        <f t="shared" si="3"/>
        <v>137.76</v>
      </c>
      <c r="K12" s="3">
        <f t="shared" si="3"/>
        <v>172.38461538461539</v>
      </c>
      <c r="L12" s="3">
        <f t="shared" si="3"/>
        <v>204.44444444444443</v>
      </c>
      <c r="M12" s="3">
        <f t="shared" si="3"/>
        <v>234.21428571428569</v>
      </c>
      <c r="N12" s="3">
        <f t="shared" si="3"/>
        <v>261.93103448275861</v>
      </c>
      <c r="O12" s="3">
        <f t="shared" si="3"/>
        <v>287.8</v>
      </c>
      <c r="P12" s="3">
        <f t="shared" si="3"/>
        <v>312</v>
      </c>
      <c r="Q12" s="3">
        <f t="shared" si="3"/>
        <v>334.6875</v>
      </c>
      <c r="R12" s="3">
        <f t="shared" si="3"/>
        <v>356</v>
      </c>
      <c r="S12" s="3">
        <f t="shared" ref="S12:AZ12" si="4">S9+15</f>
        <v>376.05882352941177</v>
      </c>
      <c r="T12" s="3">
        <f t="shared" si="4"/>
        <v>394.97142857142859</v>
      </c>
      <c r="U12" s="3">
        <f t="shared" si="4"/>
        <v>412.83333333333331</v>
      </c>
      <c r="V12" s="3">
        <f t="shared" si="4"/>
        <v>429.72972972972974</v>
      </c>
      <c r="W12" s="3">
        <f t="shared" si="4"/>
        <v>445.73684210526312</v>
      </c>
      <c r="X12" s="3">
        <f t="shared" si="4"/>
        <v>460.92307692307691</v>
      </c>
      <c r="Y12" s="3">
        <f t="shared" si="4"/>
        <v>475.35</v>
      </c>
      <c r="Z12" s="3">
        <f t="shared" si="4"/>
        <v>489.07317073170736</v>
      </c>
      <c r="AA12" s="3">
        <f t="shared" si="4"/>
        <v>502.14285714285711</v>
      </c>
      <c r="AB12" s="3">
        <f t="shared" si="4"/>
        <v>514.60465116279067</v>
      </c>
      <c r="AC12" s="3">
        <f t="shared" si="4"/>
        <v>526.5</v>
      </c>
      <c r="AD12" s="3">
        <f t="shared" si="4"/>
        <v>537.86666666666667</v>
      </c>
      <c r="AE12" s="3">
        <f t="shared" si="4"/>
        <v>548.73913043478262</v>
      </c>
      <c r="AF12" s="3">
        <f t="shared" si="4"/>
        <v>559.14893617021278</v>
      </c>
      <c r="AG12" s="3">
        <f t="shared" si="4"/>
        <v>569.125</v>
      </c>
      <c r="AH12" s="3">
        <f t="shared" si="4"/>
        <v>578.69387755102036</v>
      </c>
      <c r="AI12" s="3">
        <f t="shared" si="4"/>
        <v>587.88000000000011</v>
      </c>
      <c r="AJ12" s="3">
        <f t="shared" si="4"/>
        <v>596.7058823529411</v>
      </c>
      <c r="AK12" s="3">
        <f t="shared" si="4"/>
        <v>605.19230769230762</v>
      </c>
      <c r="AL12" s="3">
        <f t="shared" si="4"/>
        <v>613.35849056603774</v>
      </c>
      <c r="AM12" s="3">
        <f t="shared" si="4"/>
        <v>621.22222222222217</v>
      </c>
      <c r="AN12" s="3">
        <f t="shared" si="4"/>
        <v>628.79999999999995</v>
      </c>
      <c r="AO12" s="3">
        <f t="shared" si="4"/>
        <v>636.10714285714278</v>
      </c>
      <c r="AP12" s="3">
        <f t="shared" si="4"/>
        <v>643.15789473684208</v>
      </c>
      <c r="AQ12" s="3">
        <f t="shared" si="4"/>
        <v>649.9655172413793</v>
      </c>
      <c r="AR12" s="3">
        <f t="shared" si="4"/>
        <v>656.54237288135596</v>
      </c>
      <c r="AS12" s="3">
        <f t="shared" si="4"/>
        <v>662.9</v>
      </c>
      <c r="AT12" s="3">
        <f t="shared" si="4"/>
        <v>669.04918032786895</v>
      </c>
      <c r="AU12" s="3">
        <f t="shared" si="4"/>
        <v>675</v>
      </c>
      <c r="AV12" s="3">
        <f t="shared" si="4"/>
        <v>680.76190476190482</v>
      </c>
      <c r="AW12" s="3">
        <f t="shared" si="4"/>
        <v>686.34375</v>
      </c>
      <c r="AX12" s="3">
        <f t="shared" si="4"/>
        <v>691.7538461538461</v>
      </c>
      <c r="AY12" s="3">
        <f t="shared" si="4"/>
        <v>697</v>
      </c>
      <c r="AZ12" s="3">
        <f t="shared" si="4"/>
        <v>702.08955223880605</v>
      </c>
    </row>
    <row r="14" spans="1:52" x14ac:dyDescent="0.25">
      <c r="E14" t="s">
        <v>58</v>
      </c>
      <c r="G14">
        <f>SUM($G$8:G8)/($F$8+SUM($G$8:G8))*$C$7</f>
        <v>0</v>
      </c>
      <c r="H14">
        <f>SUM($G$8:H8)/($F$8+SUM($G$8:H8))*$C$7</f>
        <v>0.14347826086956519</v>
      </c>
      <c r="I14">
        <f>SUM($G$8:I8)/($F$8+SUM($G$8:I8))*$C$7</f>
        <v>0.27499999999999997</v>
      </c>
      <c r="J14">
        <f>SUM($G$8:J8)/($F$8+SUM($G$8:J8))*$C$7</f>
        <v>0.39599999999999996</v>
      </c>
      <c r="K14">
        <f>SUM($G$8:K8)/($F$8+SUM($G$8:K8))*$C$7</f>
        <v>0.50769230769230766</v>
      </c>
      <c r="L14">
        <f>SUM($G$8:L8)/($F$8+SUM($G$8:L8))*$C$7</f>
        <v>0.61111111111111105</v>
      </c>
    </row>
    <row r="15" spans="1:52" x14ac:dyDescent="0.25">
      <c r="G15" s="3">
        <f>G14*1023/3.3</f>
        <v>0</v>
      </c>
      <c r="H15" s="3">
        <f>H14*1023/3.3</f>
        <v>44.478260869565212</v>
      </c>
      <c r="I15" s="3">
        <f t="shared" ref="I15:L15" si="5">I14*1023/3.3</f>
        <v>85.25</v>
      </c>
      <c r="J15" s="3">
        <f t="shared" si="5"/>
        <v>122.75999999999999</v>
      </c>
      <c r="K15" s="3">
        <f t="shared" si="5"/>
        <v>157.38461538461539</v>
      </c>
      <c r="L15" s="3">
        <f t="shared" si="5"/>
        <v>189.44444444444446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8" spans="5:16" x14ac:dyDescent="0.25">
      <c r="E18" s="1" t="s">
        <v>56</v>
      </c>
    </row>
    <row r="19" spans="5:16" x14ac:dyDescent="0.25">
      <c r="E19" t="s">
        <v>20</v>
      </c>
      <c r="F19">
        <v>44</v>
      </c>
    </row>
    <row r="20" spans="5:16" x14ac:dyDescent="0.25">
      <c r="E20" t="s">
        <v>21</v>
      </c>
      <c r="F20">
        <f>ROUND(22*$F$19/(1023-F19),0)+1</f>
        <v>2</v>
      </c>
    </row>
    <row r="25" spans="5:16" x14ac:dyDescent="0.25">
      <c r="F25" t="s">
        <v>60</v>
      </c>
      <c r="G25">
        <v>0</v>
      </c>
      <c r="H25">
        <v>1</v>
      </c>
      <c r="I25">
        <v>2</v>
      </c>
      <c r="J25">
        <v>3</v>
      </c>
      <c r="K25">
        <v>4</v>
      </c>
      <c r="L25">
        <v>5</v>
      </c>
      <c r="M25">
        <v>6</v>
      </c>
      <c r="N25">
        <v>7</v>
      </c>
      <c r="O25">
        <v>8</v>
      </c>
      <c r="P25">
        <v>9</v>
      </c>
    </row>
    <row r="26" spans="5:16" x14ac:dyDescent="0.25">
      <c r="F26" t="s">
        <v>61</v>
      </c>
      <c r="G26">
        <f>3.3*(1000*G25)/(22000+1000*G25)</f>
        <v>0</v>
      </c>
      <c r="H26">
        <f t="shared" ref="H26:J26" si="6">3.3*(1000*H25)/(22000+1000*H25)</f>
        <v>0.14347826086956522</v>
      </c>
      <c r="I26">
        <f t="shared" si="6"/>
        <v>0.27500000000000002</v>
      </c>
      <c r="J26">
        <f t="shared" si="6"/>
        <v>0.39600000000000002</v>
      </c>
      <c r="K26">
        <f t="shared" ref="K26" si="7">3.3*(1000*K25)/(22000+1000*K25)</f>
        <v>0.50769230769230766</v>
      </c>
      <c r="L26">
        <f t="shared" ref="L26" si="8">3.3*(1000*L25)/(22000+1000*L25)</f>
        <v>0.61111111111111116</v>
      </c>
      <c r="M26">
        <f t="shared" ref="M26" si="9">3.3*(1000*M25)/(22000+1000*M25)</f>
        <v>0.70714285714285718</v>
      </c>
      <c r="N26">
        <f t="shared" ref="N26" si="10">3.3*(1000*N25)/(22000+1000*N25)</f>
        <v>0.79655172413793107</v>
      </c>
      <c r="O26">
        <f t="shared" ref="O26" si="11">3.3*(1000*O25)/(22000+1000*O25)</f>
        <v>0.88</v>
      </c>
      <c r="P26">
        <f t="shared" ref="P26" si="12">3.3*(1000*P25)/(22000+1000*P25)</f>
        <v>0.95806451612903221</v>
      </c>
    </row>
    <row r="27" spans="5:16" x14ac:dyDescent="0.25">
      <c r="F27" t="s">
        <v>62</v>
      </c>
      <c r="G27">
        <f>1023*G26/3.3</f>
        <v>0</v>
      </c>
      <c r="H27">
        <f t="shared" ref="H27:J27" si="13">1023*H26/3.3</f>
        <v>44.478260869565226</v>
      </c>
      <c r="I27">
        <f t="shared" si="13"/>
        <v>85.250000000000014</v>
      </c>
      <c r="J27">
        <f t="shared" si="13"/>
        <v>122.76</v>
      </c>
      <c r="K27">
        <f t="shared" ref="K27" si="14">1023*K26/3.3</f>
        <v>157.38461538461539</v>
      </c>
      <c r="L27">
        <f t="shared" ref="L27" si="15">1023*L26/3.3</f>
        <v>189.44444444444449</v>
      </c>
      <c r="M27">
        <f t="shared" ref="M27" si="16">1023*M26/3.3</f>
        <v>219.21428571428572</v>
      </c>
      <c r="N27">
        <f t="shared" ref="N27" si="17">1023*N26/3.3</f>
        <v>246.93103448275866</v>
      </c>
      <c r="O27">
        <f t="shared" ref="O27" si="18">1023*O26/3.3</f>
        <v>272.8</v>
      </c>
      <c r="P27">
        <f t="shared" ref="P27" si="19">1023*P26/3.3</f>
        <v>297</v>
      </c>
    </row>
    <row r="28" spans="5:16" x14ac:dyDescent="0.25">
      <c r="G28">
        <f>G27*22000/(1023-G27)/1000</f>
        <v>0</v>
      </c>
      <c r="H28">
        <f t="shared" ref="H28:J28" si="20">H27*22000/(1023-H27)/1000</f>
        <v>1.0000000000000002</v>
      </c>
      <c r="I28">
        <f t="shared" si="20"/>
        <v>2.0000000000000004</v>
      </c>
      <c r="J28">
        <f t="shared" si="20"/>
        <v>3</v>
      </c>
      <c r="K28">
        <f t="shared" ref="K28" si="21">K27*22000/(1023-K27)/1000</f>
        <v>4</v>
      </c>
      <c r="L28">
        <f t="shared" ref="L28" si="22">L27*22000/(1023-L27)/1000</f>
        <v>5.0000000000000009</v>
      </c>
      <c r="M28">
        <f t="shared" ref="M28" si="23">M27*22000/(1023-M27)/1000</f>
        <v>6</v>
      </c>
      <c r="N28">
        <f t="shared" ref="N28" si="24">N27*22000/(1023-N27)/1000</f>
        <v>7.0000000000000009</v>
      </c>
      <c r="O28">
        <f t="shared" ref="O28" si="25">O27*22000/(1023-O27)/1000</f>
        <v>7.9999999999999991</v>
      </c>
      <c r="P28">
        <f t="shared" ref="P28" si="26">P27*22000/(1023-P27)/1000</f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62C3-623F-4698-B07F-0E6CD0F442B3}">
  <dimension ref="A1:Q18"/>
  <sheetViews>
    <sheetView workbookViewId="0">
      <selection activeCell="P10" sqref="P10"/>
    </sheetView>
  </sheetViews>
  <sheetFormatPr defaultRowHeight="15" x14ac:dyDescent="0.25"/>
  <cols>
    <col min="5" max="5" width="10.85546875" bestFit="1" customWidth="1"/>
    <col min="6" max="6" width="18.42578125" customWidth="1"/>
    <col min="8" max="8" width="9.140625" bestFit="1" customWidth="1"/>
  </cols>
  <sheetData>
    <row r="1" spans="1:17" x14ac:dyDescent="0.25">
      <c r="A1" s="1" t="s">
        <v>64</v>
      </c>
    </row>
    <row r="2" spans="1:17" x14ac:dyDescent="0.25">
      <c r="A2" t="s">
        <v>8</v>
      </c>
    </row>
    <row r="4" spans="1:17" x14ac:dyDescent="0.25">
      <c r="B4" t="s">
        <v>17</v>
      </c>
      <c r="C4">
        <v>22000</v>
      </c>
    </row>
    <row r="5" spans="1:17" x14ac:dyDescent="0.25">
      <c r="B5" t="s">
        <v>18</v>
      </c>
      <c r="C5">
        <v>1000</v>
      </c>
    </row>
    <row r="6" spans="1:17" x14ac:dyDescent="0.25">
      <c r="B6" t="s">
        <v>19</v>
      </c>
      <c r="C6">
        <v>1023</v>
      </c>
      <c r="E6" s="1" t="s">
        <v>57</v>
      </c>
    </row>
    <row r="7" spans="1:17" x14ac:dyDescent="0.25">
      <c r="B7" t="s">
        <v>59</v>
      </c>
      <c r="C7">
        <v>3.3</v>
      </c>
      <c r="F7" s="1" t="s">
        <v>0</v>
      </c>
      <c r="G7" s="1" t="s">
        <v>63</v>
      </c>
      <c r="H7" s="1" t="s">
        <v>1</v>
      </c>
      <c r="I7" s="1" t="s">
        <v>2</v>
      </c>
      <c r="J7" s="1" t="s">
        <v>3</v>
      </c>
      <c r="K7" s="1" t="s">
        <v>4</v>
      </c>
      <c r="L7" s="1" t="s">
        <v>5</v>
      </c>
      <c r="M7" s="1" t="s">
        <v>6</v>
      </c>
      <c r="N7" s="1" t="s">
        <v>11</v>
      </c>
      <c r="O7" s="1" t="s">
        <v>12</v>
      </c>
      <c r="P7" s="1" t="s">
        <v>13</v>
      </c>
      <c r="Q7" s="1"/>
    </row>
    <row r="8" spans="1:17" x14ac:dyDescent="0.25">
      <c r="E8" t="s">
        <v>9</v>
      </c>
      <c r="F8">
        <f>C4</f>
        <v>22000</v>
      </c>
      <c r="G8">
        <v>0</v>
      </c>
      <c r="H8">
        <v>3000</v>
      </c>
      <c r="I8">
        <v>6200</v>
      </c>
      <c r="J8">
        <v>9100</v>
      </c>
      <c r="K8">
        <v>15000</v>
      </c>
      <c r="L8">
        <v>24000</v>
      </c>
      <c r="M8">
        <v>33000</v>
      </c>
      <c r="N8">
        <v>51000</v>
      </c>
      <c r="O8">
        <v>100000</v>
      </c>
      <c r="P8">
        <v>220000</v>
      </c>
    </row>
    <row r="9" spans="1:17" x14ac:dyDescent="0.25">
      <c r="E9" t="s">
        <v>10</v>
      </c>
      <c r="G9" s="2">
        <f>G8/($F$8+G8)*$C$6</f>
        <v>0</v>
      </c>
      <c r="H9" s="2">
        <f>H8/($F$8+H8)*$C$6</f>
        <v>122.75999999999999</v>
      </c>
      <c r="I9" s="2">
        <f t="shared" ref="I9:P9" si="0">I8/($F$8+I8)*$C$6</f>
        <v>224.91489361702128</v>
      </c>
      <c r="J9" s="2">
        <f t="shared" si="0"/>
        <v>299.33440514469453</v>
      </c>
      <c r="K9" s="2">
        <f t="shared" si="0"/>
        <v>414.72972972972974</v>
      </c>
      <c r="L9" s="2">
        <f t="shared" si="0"/>
        <v>533.73913043478262</v>
      </c>
      <c r="M9" s="2">
        <f t="shared" si="0"/>
        <v>613.79999999999995</v>
      </c>
      <c r="N9" s="2">
        <f t="shared" si="0"/>
        <v>714.69863013698637</v>
      </c>
      <c r="O9" s="2">
        <f t="shared" si="0"/>
        <v>838.52459016393448</v>
      </c>
      <c r="P9" s="2">
        <f t="shared" si="0"/>
        <v>930</v>
      </c>
      <c r="Q9" s="2"/>
    </row>
    <row r="10" spans="1:17" x14ac:dyDescent="0.25">
      <c r="E10" t="s">
        <v>65</v>
      </c>
      <c r="G10" s="3">
        <f>G9+(H9-G9)/2</f>
        <v>61.379999999999995</v>
      </c>
      <c r="H10" s="3">
        <f t="shared" ref="H10:O10" si="1">H9+(I9-H9)/2</f>
        <v>173.83744680851063</v>
      </c>
      <c r="I10" s="3">
        <f t="shared" si="1"/>
        <v>262.12464938085793</v>
      </c>
      <c r="J10" s="3">
        <f t="shared" si="1"/>
        <v>357.03206743721216</v>
      </c>
      <c r="K10" s="3">
        <f t="shared" si="1"/>
        <v>474.23443008225615</v>
      </c>
      <c r="L10" s="3">
        <f t="shared" si="1"/>
        <v>573.76956521739135</v>
      </c>
      <c r="M10" s="3">
        <f t="shared" si="1"/>
        <v>664.24931506849316</v>
      </c>
      <c r="N10" s="3">
        <f t="shared" si="1"/>
        <v>776.61161015046036</v>
      </c>
      <c r="O10" s="3">
        <f t="shared" si="1"/>
        <v>884.2622950819673</v>
      </c>
      <c r="P10" s="3">
        <v>1000</v>
      </c>
    </row>
    <row r="11" spans="1:17" x14ac:dyDescent="0.25"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E12" t="s">
        <v>66</v>
      </c>
      <c r="G12">
        <v>70</v>
      </c>
      <c r="H12" s="3">
        <v>170</v>
      </c>
      <c r="I12" s="3">
        <v>270</v>
      </c>
      <c r="J12" s="3">
        <v>370</v>
      </c>
      <c r="K12" s="3">
        <v>470</v>
      </c>
      <c r="L12" s="3">
        <v>570</v>
      </c>
      <c r="M12" s="3">
        <v>670</v>
      </c>
      <c r="N12" s="3">
        <v>770</v>
      </c>
      <c r="O12" s="3">
        <v>870</v>
      </c>
      <c r="P12" s="3">
        <v>970</v>
      </c>
      <c r="Q12" s="3"/>
    </row>
    <row r="15" spans="1:17" x14ac:dyDescent="0.25">
      <c r="H15" s="3"/>
      <c r="I15" s="3"/>
      <c r="J15" s="3"/>
      <c r="K15" s="3"/>
      <c r="L15" s="3"/>
      <c r="M15" s="3"/>
      <c r="N15" s="3"/>
      <c r="O15" s="3"/>
      <c r="P15" s="3"/>
      <c r="Q15" s="3"/>
    </row>
    <row r="18" spans="5:5" x14ac:dyDescent="0.25">
      <c r="E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D362-9FDD-47DF-9FE7-C2B1D85D358F}">
  <dimension ref="A1:Q19"/>
  <sheetViews>
    <sheetView tabSelected="1" workbookViewId="0">
      <selection activeCell="J19" sqref="J19"/>
    </sheetView>
  </sheetViews>
  <sheetFormatPr defaultRowHeight="15" x14ac:dyDescent="0.25"/>
  <cols>
    <col min="5" max="5" width="10.85546875" bestFit="1" customWidth="1"/>
    <col min="6" max="6" width="18.42578125" customWidth="1"/>
  </cols>
  <sheetData>
    <row r="1" spans="1:17" x14ac:dyDescent="0.25">
      <c r="A1" s="1" t="s">
        <v>67</v>
      </c>
    </row>
    <row r="2" spans="1:17" x14ac:dyDescent="0.25">
      <c r="A2" t="s">
        <v>8</v>
      </c>
    </row>
    <row r="4" spans="1:17" x14ac:dyDescent="0.25">
      <c r="B4" t="s">
        <v>17</v>
      </c>
      <c r="C4">
        <v>22000</v>
      </c>
    </row>
    <row r="5" spans="1:17" x14ac:dyDescent="0.25">
      <c r="B5" t="s">
        <v>18</v>
      </c>
      <c r="C5">
        <v>1000</v>
      </c>
    </row>
    <row r="6" spans="1:17" x14ac:dyDescent="0.25">
      <c r="B6" t="s">
        <v>19</v>
      </c>
      <c r="C6">
        <v>1023</v>
      </c>
      <c r="E6" s="1" t="s">
        <v>57</v>
      </c>
    </row>
    <row r="7" spans="1:17" x14ac:dyDescent="0.25">
      <c r="B7" t="s">
        <v>59</v>
      </c>
      <c r="C7">
        <v>3.3</v>
      </c>
      <c r="F7" s="1" t="s">
        <v>0</v>
      </c>
      <c r="G7" s="1" t="s">
        <v>63</v>
      </c>
      <c r="H7" s="1" t="s">
        <v>1</v>
      </c>
      <c r="I7" s="1" t="s">
        <v>2</v>
      </c>
      <c r="J7" s="1" t="s">
        <v>3</v>
      </c>
      <c r="K7" s="1" t="s">
        <v>4</v>
      </c>
      <c r="L7" s="1"/>
      <c r="M7" s="1"/>
      <c r="N7" s="1"/>
      <c r="O7" s="1"/>
      <c r="P7" s="1"/>
      <c r="Q7" s="1"/>
    </row>
    <row r="8" spans="1:17" x14ac:dyDescent="0.25">
      <c r="E8" t="s">
        <v>9</v>
      </c>
      <c r="F8">
        <f>C4</f>
        <v>22000</v>
      </c>
      <c r="G8">
        <v>0</v>
      </c>
      <c r="H8">
        <v>1000</v>
      </c>
      <c r="I8">
        <v>1000</v>
      </c>
      <c r="J8">
        <v>1000</v>
      </c>
      <c r="K8">
        <v>22000</v>
      </c>
    </row>
    <row r="9" spans="1:17" x14ac:dyDescent="0.25">
      <c r="E9" t="s">
        <v>68</v>
      </c>
      <c r="G9">
        <v>0</v>
      </c>
      <c r="H9">
        <f>G9+H8</f>
        <v>1000</v>
      </c>
      <c r="I9">
        <f t="shared" ref="I9:P9" si="0">H9+I8</f>
        <v>2000</v>
      </c>
      <c r="J9">
        <f t="shared" si="0"/>
        <v>3000</v>
      </c>
      <c r="K9">
        <f t="shared" si="0"/>
        <v>25000</v>
      </c>
    </row>
    <row r="10" spans="1:17" x14ac:dyDescent="0.25">
      <c r="E10" t="s">
        <v>10</v>
      </c>
      <c r="G10" s="2">
        <f>G9/($F$8+G9)*$C$6</f>
        <v>0</v>
      </c>
      <c r="H10" s="2">
        <f t="shared" ref="H10:P10" si="1">H9/($F$8+H9)*$C$6</f>
        <v>44.478260869565219</v>
      </c>
      <c r="I10" s="2">
        <f t="shared" si="1"/>
        <v>85.25</v>
      </c>
      <c r="J10" s="2">
        <f t="shared" si="1"/>
        <v>122.75999999999999</v>
      </c>
      <c r="K10" s="2">
        <f t="shared" si="1"/>
        <v>544.14893617021278</v>
      </c>
      <c r="L10" s="2"/>
      <c r="M10" s="2"/>
      <c r="N10" s="2"/>
      <c r="O10" s="2"/>
      <c r="P10" s="2"/>
      <c r="Q10" s="2"/>
    </row>
    <row r="11" spans="1:17" x14ac:dyDescent="0.25">
      <c r="E11" t="s">
        <v>65</v>
      </c>
      <c r="G11" s="3">
        <f>G10+(H10-G10)/2</f>
        <v>22.239130434782609</v>
      </c>
      <c r="H11" s="3">
        <f t="shared" ref="H11:O11" si="2">H10+(I10-H10)/2</f>
        <v>64.864130434782609</v>
      </c>
      <c r="I11" s="3">
        <f t="shared" si="2"/>
        <v>104.005</v>
      </c>
      <c r="J11" s="3">
        <f t="shared" si="2"/>
        <v>333.45446808510638</v>
      </c>
      <c r="K11" s="3">
        <v>600</v>
      </c>
      <c r="L11" s="3"/>
      <c r="M11" s="3"/>
      <c r="N11" s="3"/>
      <c r="O11" s="3"/>
      <c r="P11" s="3"/>
    </row>
    <row r="12" spans="1:17" x14ac:dyDescent="0.25"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E13" t="s">
        <v>66</v>
      </c>
      <c r="G13">
        <v>20</v>
      </c>
      <c r="H13" s="3">
        <v>70</v>
      </c>
      <c r="I13" s="3">
        <v>110</v>
      </c>
      <c r="J13" s="3">
        <v>330</v>
      </c>
      <c r="K13" s="3">
        <v>600</v>
      </c>
      <c r="L13" s="3"/>
      <c r="M13" s="3"/>
      <c r="N13" s="3"/>
      <c r="O13" s="3"/>
      <c r="P13" s="3"/>
      <c r="Q13" s="3"/>
    </row>
    <row r="16" spans="1:17" x14ac:dyDescent="0.25">
      <c r="H16" s="3"/>
      <c r="I16" s="3"/>
      <c r="J16" s="3"/>
      <c r="K16" s="3"/>
      <c r="L16" s="3"/>
      <c r="M16" s="3"/>
      <c r="N16" s="3"/>
      <c r="O16" s="3"/>
      <c r="P16" s="3"/>
      <c r="Q16" s="3"/>
    </row>
    <row r="19" spans="5:5" x14ac:dyDescent="0.25"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Fermion 10-key keyboard</vt:lpstr>
      <vt:lpstr>Elecfreaks 5-key keyboard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Llewelyn Fernandes</dc:creator>
  <cp:lastModifiedBy>Llewelyn Fernandes</cp:lastModifiedBy>
  <dcterms:created xsi:type="dcterms:W3CDTF">2026-09-16T17:41:12Z</dcterms:created>
  <dcterms:modified xsi:type="dcterms:W3CDTF">2026-10-29T17:38:25Z</dcterms:modified>
</cp:coreProperties>
</file>